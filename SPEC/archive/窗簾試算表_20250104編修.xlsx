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添心設計\設計圖\各式表單\"/>
    </mc:Choice>
  </mc:AlternateContent>
  <xr:revisionPtr revIDLastSave="0" documentId="13_ncr:1_{E4753871-3559-4B81-BE2F-D13FF4199E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  <sheet name="工作表4" sheetId="4" r:id="rId2"/>
    <sheet name="工作表2" sheetId="2" r:id="rId3"/>
    <sheet name="工作表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1" l="1"/>
  <c r="K26" i="1"/>
  <c r="B27" i="1"/>
  <c r="B26" i="1"/>
  <c r="K19" i="1"/>
  <c r="B19" i="1"/>
  <c r="B20" i="1" s="1"/>
  <c r="N17" i="1"/>
  <c r="M17" i="1"/>
  <c r="L17" i="1"/>
  <c r="O17" i="1" s="1"/>
  <c r="K42" i="1"/>
  <c r="K35" i="1"/>
  <c r="K27" i="1"/>
  <c r="K12" i="1"/>
  <c r="B5" i="1"/>
  <c r="H6" i="1" s="1"/>
  <c r="K51" i="1"/>
  <c r="B51" i="1"/>
  <c r="B34" i="1"/>
  <c r="H35" i="1" s="1"/>
  <c r="B42" i="1"/>
  <c r="E35" i="1"/>
  <c r="B52" i="1" l="1"/>
  <c r="B43" i="1"/>
  <c r="B35" i="1"/>
  <c r="E27" i="1"/>
  <c r="E6" i="1"/>
  <c r="H27" i="1"/>
  <c r="B12" i="1"/>
  <c r="B6" i="1"/>
  <c r="D2" i="4" l="1"/>
  <c r="D7" i="4"/>
  <c r="D6" i="4"/>
  <c r="D5" i="4"/>
  <c r="D4" i="4"/>
  <c r="D3" i="4"/>
  <c r="D8" i="4" l="1"/>
  <c r="N10" i="1"/>
  <c r="M10" i="1"/>
  <c r="L10" i="1"/>
  <c r="N3" i="1"/>
  <c r="M3" i="1"/>
  <c r="L3" i="1"/>
  <c r="O10" i="1" l="1"/>
  <c r="O3" i="1"/>
  <c r="B36" i="1"/>
  <c r="B13" i="1"/>
  <c r="B28" i="1"/>
  <c r="B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3" authorId="0" shapeId="0" xr:uid="{76BEEF19-5092-43C2-AA46-B1698364BB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如果希望價格便宜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可以調稀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但會不美觀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且價差不大</t>
        </r>
        <r>
          <rPr>
            <sz val="9"/>
            <color indexed="81"/>
            <rFont val="Tahoma"/>
            <family val="2"/>
          </rPr>
          <t>.</t>
        </r>
      </text>
    </comment>
    <comment ref="I40" authorId="0" shapeId="0" xr:uid="{0BFD4F8C-BA0A-4406-A6DC-99F9684316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基本高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細明體"/>
            <family val="3"/>
            <charset val="136"/>
          </rPr>
          <t>小於基本高依基本高計價</t>
        </r>
      </text>
    </comment>
    <comment ref="K40" authorId="0" shapeId="0" xr:uid="{37095138-4EB3-46E9-B9F5-60A09CF699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布錢依才數計價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細明體"/>
            <family val="3"/>
            <charset val="136"/>
          </rPr>
          <t>小於基本才依基本才計價</t>
        </r>
      </text>
    </comment>
    <comment ref="K42" authorId="0" shapeId="0" xr:uid="{F5CBF2DD-A3C0-413C-9C27-FA0364096A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安裝費依才數計價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細明體"/>
            <family val="3"/>
            <charset val="136"/>
          </rPr>
          <t>小於基本才依基本才計</t>
        </r>
      </text>
    </comment>
    <comment ref="I49" authorId="0" shapeId="0" xr:uid="{FE578C47-92CD-4760-BAC7-C5C5F06829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基本高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細明體"/>
            <family val="3"/>
            <charset val="136"/>
          </rPr>
          <t>小於基本高依基本高計價</t>
        </r>
      </text>
    </comment>
    <comment ref="K49" authorId="0" shapeId="0" xr:uid="{6A56B640-D032-4BBD-9B71-F42917F638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布錢依才數計價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細明體"/>
            <family val="3"/>
            <charset val="136"/>
          </rPr>
          <t>小於基本才依基本才計價</t>
        </r>
      </text>
    </comment>
    <comment ref="K51" authorId="0" shapeId="0" xr:uid="{D8FB0ED7-1748-463A-A757-7BD5F3236F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安裝費依才數計價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細明體"/>
            <family val="3"/>
            <charset val="136"/>
          </rPr>
          <t>小於基本才依基本才計</t>
        </r>
      </text>
    </comment>
  </commentList>
</comments>
</file>

<file path=xl/sharedStrings.xml><?xml version="1.0" encoding="utf-8"?>
<sst xmlns="http://schemas.openxmlformats.org/spreadsheetml/2006/main" count="110" uniqueCount="41">
  <si>
    <t>W</t>
  </si>
  <si>
    <t>H</t>
  </si>
  <si>
    <t>$</t>
  </si>
  <si>
    <t>單格計算式</t>
  </si>
  <si>
    <t>窗寬</t>
  </si>
  <si>
    <t>窗高</t>
  </si>
  <si>
    <t>掛座</t>
  </si>
  <si>
    <t>單價/碼</t>
  </si>
  <si>
    <t>幅數</t>
  </si>
  <si>
    <t>古銅小掛座</t>
  </si>
  <si>
    <t>布錢</t>
  </si>
  <si>
    <t>軌道</t>
  </si>
  <si>
    <t>車工</t>
  </si>
  <si>
    <t>安裝費</t>
  </si>
  <si>
    <t>價格</t>
  </si>
  <si>
    <t>基本高</t>
  </si>
  <si>
    <t>基本材</t>
  </si>
  <si>
    <t>單價/才</t>
  </si>
  <si>
    <t>布碼數</t>
  </si>
  <si>
    <t>鉛條</t>
  </si>
  <si>
    <t>蛇型簾</t>
  </si>
  <si>
    <t>直立柔紗簾</t>
    <phoneticPr fontId="5" type="noConversion"/>
  </si>
  <si>
    <r>
      <rPr>
        <sz val="16"/>
        <color rgb="FF000000"/>
        <rFont val="微軟正黑體"/>
        <family val="2"/>
        <charset val="136"/>
      </rPr>
      <t>高</t>
    </r>
    <r>
      <rPr>
        <sz val="16"/>
        <color rgb="FF000000"/>
        <rFont val="Arial"/>
        <family val="2"/>
      </rPr>
      <t>+30</t>
    </r>
    <r>
      <rPr>
        <sz val="16"/>
        <color rgb="FF000000"/>
        <rFont val="微軟正黑體"/>
        <family val="2"/>
        <charset val="136"/>
      </rPr>
      <t>大於</t>
    </r>
    <r>
      <rPr>
        <sz val="16"/>
        <color rgb="FF000000"/>
        <rFont val="Arial"/>
        <family val="2"/>
      </rPr>
      <t>1</t>
    </r>
    <r>
      <rPr>
        <sz val="16"/>
        <color rgb="FF000000"/>
        <rFont val="微軟正黑體"/>
        <family val="2"/>
        <charset val="136"/>
      </rPr>
      <t>幅寬</t>
    </r>
    <phoneticPr fontId="5" type="noConversion"/>
  </si>
  <si>
    <r>
      <rPr>
        <sz val="16"/>
        <color rgb="FF000000"/>
        <rFont val="微軟正黑體"/>
        <family val="2"/>
        <charset val="136"/>
      </rPr>
      <t>無接縫</t>
    </r>
    <r>
      <rPr>
        <sz val="16"/>
        <color rgb="FF000000"/>
        <rFont val="Arial"/>
        <family val="2"/>
      </rPr>
      <t>(</t>
    </r>
    <r>
      <rPr>
        <sz val="16"/>
        <color rgb="FF000000"/>
        <rFont val="細明體"/>
        <family val="2"/>
        <charset val="136"/>
      </rPr>
      <t>紗)</t>
    </r>
    <phoneticPr fontId="5" type="noConversion"/>
  </si>
  <si>
    <t>超過幅高不能做</t>
    <phoneticPr fontId="5" type="noConversion"/>
  </si>
  <si>
    <t>高級品</t>
    <phoneticPr fontId="5" type="noConversion"/>
  </si>
  <si>
    <t>報價含各項五金組件/布錢</t>
    <phoneticPr fontId="5" type="noConversion"/>
  </si>
  <si>
    <t>布幅倍率</t>
    <phoneticPr fontId="5" type="noConversion"/>
  </si>
  <si>
    <t>標準3倍布幅,布深約20公分,要更深需增加布幅倍率(可調2.5~4),有調整時下單應告知工廠</t>
    <phoneticPr fontId="5" type="noConversion"/>
  </si>
  <si>
    <t>標準2倍布幅(可調1.5~2),注意調整後布料差異小於一幅不會有費用差異,有調整時下單應告知工廠</t>
    <phoneticPr fontId="5" type="noConversion"/>
  </si>
  <si>
    <t>捲簾/調光簾/百葉簾/羅馬簾</t>
    <phoneticPr fontId="5" type="noConversion"/>
  </si>
  <si>
    <r>
      <t>注意事項:
1.小於基本才需依基本才計價.
2.指定雙開需加一根棒子費用</t>
    </r>
    <r>
      <rPr>
        <sz val="16"/>
        <color rgb="FFFF0000"/>
        <rFont val="細明體"/>
        <family val="3"/>
        <charset val="136"/>
      </rPr>
      <t>$250元</t>
    </r>
    <r>
      <rPr>
        <sz val="16"/>
        <color rgb="FF000000"/>
        <rFont val="細明體"/>
        <family val="2"/>
        <charset val="136"/>
      </rPr>
      <t>.
3.有限定高度,超過不能製作.
4.成本高昂,</t>
    </r>
    <r>
      <rPr>
        <sz val="16"/>
        <color rgb="FFFF0000"/>
        <rFont val="細明體"/>
        <family val="3"/>
        <charset val="136"/>
      </rPr>
      <t>如需訂購請經三道確認手續:1.設計師現場丈量 2.設計主管現場覆量 3.回報老闆確認訂購</t>
    </r>
    <r>
      <rPr>
        <sz val="16"/>
        <color rgb="FF000000"/>
        <rFont val="細明體"/>
        <family val="2"/>
        <charset val="136"/>
      </rPr>
      <t>.
5.同上因素,</t>
    </r>
    <r>
      <rPr>
        <sz val="16"/>
        <color rgb="FFFF0000"/>
        <rFont val="細明體"/>
        <family val="3"/>
        <charset val="136"/>
      </rPr>
      <t>安裝現場請設計師到場錄影全施工過程,並要安排在最後階段施作.</t>
    </r>
    <phoneticPr fontId="5" type="noConversion"/>
  </si>
  <si>
    <t>布簾(三折簾)</t>
    <phoneticPr fontId="5" type="noConversion"/>
  </si>
  <si>
    <t>直立柔紗簾</t>
    <phoneticPr fontId="5" type="noConversion"/>
  </si>
  <si>
    <t>穿透簾</t>
    <phoneticPr fontId="5" type="noConversion"/>
  </si>
  <si>
    <t>單格計算式</t>
    <phoneticPr fontId="5" type="noConversion"/>
  </si>
  <si>
    <t>挑高窗簾和電動窗簾安裝費將會外加,依現場尺寸請師父報價為主</t>
    <phoneticPr fontId="5" type="noConversion"/>
  </si>
  <si>
    <t>羅馬簾</t>
    <phoneticPr fontId="5" type="noConversion"/>
  </si>
  <si>
    <r>
      <rPr>
        <sz val="16"/>
        <color rgb="FF000000"/>
        <rFont val="微軟正黑體"/>
        <family val="2"/>
        <charset val="136"/>
      </rPr>
      <t>幅寬</t>
    </r>
    <r>
      <rPr>
        <sz val="16"/>
        <color rgb="FF000000"/>
        <rFont val="Arial"/>
        <family val="2"/>
      </rPr>
      <t>(</t>
    </r>
    <r>
      <rPr>
        <sz val="16"/>
        <color rgb="FFFF0000"/>
        <rFont val="細明體"/>
        <family val="3"/>
        <charset val="136"/>
      </rPr>
      <t>注意幅寬</t>
    </r>
    <r>
      <rPr>
        <sz val="16"/>
        <color rgb="FF000000"/>
        <rFont val="Arial"/>
        <family val="2"/>
      </rPr>
      <t>)</t>
    </r>
    <phoneticPr fontId="5" type="noConversion"/>
  </si>
  <si>
    <r>
      <rPr>
        <sz val="16"/>
        <color rgb="FF000000"/>
        <rFont val="微軟正黑體"/>
        <family val="2"/>
        <charset val="136"/>
      </rPr>
      <t>幅寬</t>
    </r>
    <r>
      <rPr>
        <sz val="16"/>
        <color rgb="FF000000"/>
        <rFont val="Arial"/>
        <family val="2"/>
      </rPr>
      <t>(</t>
    </r>
    <r>
      <rPr>
        <sz val="16"/>
        <color rgb="FFFF0000"/>
        <rFont val="Microsoft JhengHei"/>
        <family val="2"/>
        <charset val="136"/>
      </rPr>
      <t>注意幅寬</t>
    </r>
    <r>
      <rPr>
        <sz val="16"/>
        <color rgb="FF000000"/>
        <rFont val="Arial"/>
        <family val="2"/>
      </rPr>
      <t>)</t>
    </r>
    <phoneticPr fontId="5" type="noConversion"/>
  </si>
  <si>
    <r>
      <rPr>
        <sz val="16"/>
        <color rgb="FF000000"/>
        <rFont val="微軟正黑體"/>
        <family val="2"/>
        <charset val="136"/>
      </rPr>
      <t>幅寬</t>
    </r>
    <r>
      <rPr>
        <sz val="16"/>
        <color rgb="FF000000"/>
        <rFont val="Arial"/>
        <family val="2"/>
      </rPr>
      <t>(</t>
    </r>
    <r>
      <rPr>
        <sz val="16"/>
        <color rgb="FFFF0000"/>
        <rFont val="微軟正黑體"/>
        <family val="2"/>
        <charset val="136"/>
      </rPr>
      <t>注意幅寬</t>
    </r>
    <r>
      <rPr>
        <sz val="16"/>
        <color rgb="FF000000"/>
        <rFont val="Arial"/>
        <family val="2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</si>
</sst>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NT$-404]#,##0.00;[Red]&quot;-&quot;[$NT$-404]#,##0.00"/>
  </numFmts>
  <fonts count="23">
    <font>
      <sz val="12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2"/>
      <color rgb="FF000000"/>
      <name val="Arial"/>
      <family val="2"/>
    </font>
    <font>
      <sz val="16"/>
      <color rgb="FF000000"/>
      <name val="Arial"/>
      <family val="2"/>
    </font>
    <font>
      <sz val="16"/>
      <color rgb="FFFF3333"/>
      <name val="Arial"/>
      <family val="2"/>
    </font>
    <font>
      <sz val="9"/>
      <name val="細明體"/>
      <family val="3"/>
      <charset val="136"/>
    </font>
    <font>
      <sz val="16"/>
      <color rgb="FF000000"/>
      <name val="微軟正黑體"/>
      <family val="2"/>
      <charset val="136"/>
    </font>
    <font>
      <sz val="16"/>
      <color rgb="FF000000"/>
      <name val="Arial"/>
      <family val="2"/>
      <charset val="136"/>
    </font>
    <font>
      <sz val="16"/>
      <color rgb="FF000000"/>
      <name val="細明體"/>
      <family val="2"/>
      <charset val="136"/>
    </font>
    <font>
      <b/>
      <sz val="16"/>
      <color rgb="FFFF0000"/>
      <name val="細明體"/>
      <family val="3"/>
      <charset val="136"/>
    </font>
    <font>
      <b/>
      <sz val="16"/>
      <color rgb="FF0070C0"/>
      <name val="Arial"/>
      <family val="2"/>
    </font>
    <font>
      <sz val="12"/>
      <color rgb="FF0070C0"/>
      <name val="細明體"/>
      <family val="2"/>
      <charset val="136"/>
    </font>
    <font>
      <b/>
      <sz val="14"/>
      <color rgb="FF000000"/>
      <name val="Adobe 繁黑體 Std B"/>
      <family val="2"/>
      <charset val="136"/>
    </font>
    <font>
      <sz val="16"/>
      <color rgb="FFFF0000"/>
      <name val="細明體"/>
      <family val="3"/>
      <charset val="136"/>
    </font>
    <font>
      <b/>
      <sz val="16"/>
      <color rgb="FF000000"/>
      <name val="微軟正黑體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rgb="FF000000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16"/>
      <color rgb="FFFF0000"/>
      <name val="Arial"/>
      <family val="2"/>
    </font>
    <font>
      <sz val="16"/>
      <color rgb="FFFF0000"/>
      <name val="Microsoft JhengHei"/>
      <family val="2"/>
      <charset val="136"/>
    </font>
    <font>
      <sz val="12"/>
      <color rgb="FF000000"/>
      <name val="細明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 applyNumberFormat="0" applyBorder="0" applyProtection="0">
      <alignment horizontal="center" vertical="center"/>
    </xf>
    <xf numFmtId="0" fontId="1" fillId="0" borderId="0" applyNumberFormat="0" applyBorder="0" applyProtection="0">
      <alignment horizontal="center" vertical="center" textRotation="90"/>
    </xf>
    <xf numFmtId="0" fontId="2" fillId="0" borderId="0" applyNumberFormat="0" applyBorder="0" applyProtection="0">
      <alignment vertical="center"/>
    </xf>
    <xf numFmtId="176" fontId="2" fillId="0" borderId="0" applyBorder="0" applyProtection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0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18" fillId="0" borderId="0" xfId="0" applyFont="1">
      <alignment vertical="center"/>
    </xf>
    <xf numFmtId="0" fontId="7" fillId="0" borderId="0" xfId="0" applyFont="1">
      <alignment vertical="center"/>
    </xf>
    <xf numFmtId="0" fontId="22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5">
    <cellStyle name="Heading" xfId="1" xr:uid="{00000000-0005-0000-0000-000000000000}"/>
    <cellStyle name="Heading1" xfId="2" xr:uid="{00000000-0005-0000-0000-000001000000}"/>
    <cellStyle name="Result" xfId="3" xr:uid="{00000000-0005-0000-0000-000002000000}"/>
    <cellStyle name="Result2" xfId="4" xr:uid="{00000000-0005-0000-0000-000003000000}"/>
    <cellStyle name="一般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3"/>
  <sheetViews>
    <sheetView tabSelected="1" zoomScale="85" zoomScaleNormal="85" workbookViewId="0">
      <selection activeCell="B7" sqref="B7"/>
    </sheetView>
  </sheetViews>
  <sheetFormatPr defaultRowHeight="15"/>
  <cols>
    <col min="1" max="1" width="14.44140625" customWidth="1"/>
    <col min="2" max="2" width="13.6640625" customWidth="1"/>
    <col min="3" max="3" width="17.109375" customWidth="1"/>
    <col min="4" max="1024" width="13.6640625" customWidth="1"/>
    <col min="1025" max="1025" width="8.6640625" customWidth="1"/>
  </cols>
  <sheetData>
    <row r="1" spans="1:70" ht="20.25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spans="1:70" ht="21">
      <c r="A2" s="5" t="s">
        <v>32</v>
      </c>
      <c r="B2" s="13" t="s">
        <v>22</v>
      </c>
      <c r="C2" s="14"/>
      <c r="D2" s="19" t="s">
        <v>29</v>
      </c>
      <c r="E2" s="19"/>
      <c r="F2" s="19"/>
      <c r="G2" s="19"/>
      <c r="H2" s="19"/>
      <c r="I2" s="19"/>
      <c r="J2" s="19"/>
      <c r="K2" s="2"/>
      <c r="L2" t="s">
        <v>0</v>
      </c>
      <c r="M2" t="s">
        <v>1</v>
      </c>
      <c r="N2" t="s">
        <v>2</v>
      </c>
      <c r="O2" s="10" t="s">
        <v>35</v>
      </c>
    </row>
    <row r="3" spans="1:70" ht="21">
      <c r="A3" s="1" t="s">
        <v>4</v>
      </c>
      <c r="B3" s="3">
        <v>210</v>
      </c>
      <c r="C3" s="2" t="s">
        <v>5</v>
      </c>
      <c r="D3" s="3">
        <v>229</v>
      </c>
      <c r="E3" s="2"/>
      <c r="F3" s="7" t="s">
        <v>27</v>
      </c>
      <c r="G3" s="2">
        <v>2</v>
      </c>
      <c r="H3" s="2"/>
      <c r="I3" s="2" t="s">
        <v>6</v>
      </c>
      <c r="J3" s="2">
        <v>0</v>
      </c>
      <c r="K3" s="2"/>
      <c r="L3">
        <f>B3</f>
        <v>210</v>
      </c>
      <c r="M3">
        <f>D3</f>
        <v>229</v>
      </c>
      <c r="N3">
        <f>B4</f>
        <v>860</v>
      </c>
      <c r="O3">
        <f>INT(N3 * (ROUNDUP((L3 * 2) / 150, 0)) * ((M3 + 30 + 15) / 90)*0.55 + 40 * ROUNDUP(L3/30,0) + 200 * (ROUNDUP((L3 * 2) / 150, 0)+IF(MOD(L3*2,150)=0,1,0))+IF(L3&lt;150,400,400+50*ROUNDUP((L3-150)/30,0)))</f>
        <v>5700</v>
      </c>
    </row>
    <row r="4" spans="1:70" ht="21">
      <c r="A4" s="1" t="s">
        <v>7</v>
      </c>
      <c r="B4" s="3">
        <v>860</v>
      </c>
      <c r="C4" s="11" t="s">
        <v>39</v>
      </c>
      <c r="D4" s="3">
        <v>150</v>
      </c>
      <c r="E4" s="2"/>
      <c r="F4" s="2"/>
      <c r="G4" s="2"/>
      <c r="H4" s="2"/>
      <c r="I4" s="2"/>
      <c r="J4" s="2"/>
      <c r="K4" s="2"/>
    </row>
    <row r="5" spans="1:70" ht="20.25">
      <c r="A5" s="1" t="s">
        <v>8</v>
      </c>
      <c r="B5" s="2">
        <f>ROUNDUP((B3*G3)/D4,0)+IF(MOD(B3*G3,D4)=0,1,0)</f>
        <v>3</v>
      </c>
      <c r="C5" s="2"/>
      <c r="E5" s="2"/>
      <c r="F5" s="2" t="s">
        <v>9</v>
      </c>
      <c r="G5" s="2">
        <v>35</v>
      </c>
      <c r="H5" s="2"/>
      <c r="I5" s="2"/>
      <c r="J5" s="2"/>
      <c r="K5" s="2"/>
    </row>
    <row r="6" spans="1:70" ht="20.25">
      <c r="A6" s="1" t="s">
        <v>10</v>
      </c>
      <c r="B6" s="2">
        <f>INT(B5*(D3+30+15)/90*B4*0.55)</f>
        <v>4320</v>
      </c>
      <c r="C6" s="2"/>
      <c r="D6" s="2" t="s">
        <v>11</v>
      </c>
      <c r="E6" s="2">
        <f>ROUNDUP(B3/30,0)*40</f>
        <v>280</v>
      </c>
      <c r="F6" s="2"/>
      <c r="G6" s="2" t="s">
        <v>12</v>
      </c>
      <c r="H6" s="2">
        <f>B5*200</f>
        <v>600</v>
      </c>
      <c r="I6" s="2"/>
      <c r="J6" s="2" t="s">
        <v>13</v>
      </c>
      <c r="K6" s="2">
        <f>IF(B3&lt;150,400,400+50*ROUNDUP((B3-150)/30,0))+400</f>
        <v>900</v>
      </c>
    </row>
    <row r="7" spans="1:70" ht="20.25">
      <c r="A7" s="1" t="s">
        <v>14</v>
      </c>
      <c r="B7" s="4">
        <f>B6+E6+H6+K6+G5*J3</f>
        <v>6100</v>
      </c>
      <c r="C7" s="2"/>
      <c r="D7" s="2"/>
      <c r="E7" s="2"/>
      <c r="F7" s="2"/>
      <c r="G7" s="2"/>
      <c r="H7" s="2"/>
      <c r="I7" s="2"/>
      <c r="J7" s="2"/>
      <c r="K7" s="2"/>
    </row>
    <row r="8" spans="1:70" ht="62.25" customHeight="1">
      <c r="A8" s="20" t="s">
        <v>36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70" ht="20.25">
      <c r="A9" s="15" t="s">
        <v>30</v>
      </c>
      <c r="B9" s="15"/>
      <c r="C9" s="2"/>
      <c r="D9" s="2"/>
      <c r="E9" s="2"/>
      <c r="F9" s="2"/>
      <c r="G9" s="2"/>
      <c r="H9" s="2"/>
      <c r="I9" s="2"/>
      <c r="J9" s="2"/>
      <c r="K9" s="2"/>
      <c r="L9" t="s">
        <v>0</v>
      </c>
      <c r="M9" t="s">
        <v>1</v>
      </c>
      <c r="N9" t="s">
        <v>2</v>
      </c>
      <c r="O9" t="s">
        <v>3</v>
      </c>
    </row>
    <row r="10" spans="1:70" ht="20.25">
      <c r="A10" s="1" t="s">
        <v>4</v>
      </c>
      <c r="B10" s="3">
        <v>115</v>
      </c>
      <c r="C10" s="2" t="s">
        <v>5</v>
      </c>
      <c r="D10" s="3">
        <v>115</v>
      </c>
      <c r="E10" s="2"/>
      <c r="F10" s="2"/>
      <c r="G10" s="2"/>
      <c r="H10" s="2" t="s">
        <v>15</v>
      </c>
      <c r="I10" s="3">
        <v>120</v>
      </c>
      <c r="J10" s="2" t="s">
        <v>16</v>
      </c>
      <c r="K10" s="3">
        <v>20</v>
      </c>
      <c r="L10">
        <f>B10</f>
        <v>115</v>
      </c>
      <c r="M10">
        <f>D10</f>
        <v>115</v>
      </c>
      <c r="N10">
        <f>B11</f>
        <v>240</v>
      </c>
      <c r="O10">
        <f>INT(IF(L10*IF(M10&lt;120,120,M10)/900&gt;20,L10*IF(M10&lt;120,120,M10)/900,20)*N10*0.6)+IF(L10&lt;150,400,400+INT((L10-150)/30)*50)</f>
        <v>3280</v>
      </c>
    </row>
    <row r="11" spans="1:70" ht="20.25">
      <c r="A11" s="1" t="s">
        <v>17</v>
      </c>
      <c r="B11" s="3">
        <v>240</v>
      </c>
      <c r="C11" s="2"/>
      <c r="D11" s="2"/>
      <c r="E11" s="2"/>
      <c r="F11" s="2"/>
      <c r="G11" s="2"/>
      <c r="H11" s="2"/>
      <c r="I11" s="2"/>
      <c r="J11" s="2"/>
      <c r="K11" s="2"/>
      <c r="BR11" s="12"/>
    </row>
    <row r="12" spans="1:70" ht="20.25">
      <c r="A12" s="1" t="s">
        <v>10</v>
      </c>
      <c r="B12" s="2">
        <f>INT(IF((B10)*IF(D10&lt;I10,I10,D10)/900&lt;K10,K10,(B10)*IF(D10&lt;I10,I10,D10)/900)*B11*0.6)</f>
        <v>2880</v>
      </c>
      <c r="C12" s="2"/>
      <c r="D12" s="2"/>
      <c r="E12" s="2"/>
      <c r="F12" s="2"/>
      <c r="G12" s="2"/>
      <c r="H12" s="2"/>
      <c r="I12" s="2"/>
      <c r="J12" s="2" t="s">
        <v>13</v>
      </c>
      <c r="K12" s="2">
        <f>IF(B10&lt;150,400,400+INT((B10-150)/30)*50)+300</f>
        <v>700</v>
      </c>
    </row>
    <row r="13" spans="1:70" ht="20.25">
      <c r="A13" s="1" t="s">
        <v>14</v>
      </c>
      <c r="B13" s="4">
        <f>B12+E12+H12+K12+G11*J9</f>
        <v>3580</v>
      </c>
      <c r="C13" s="2"/>
      <c r="D13" s="2"/>
      <c r="E13" s="2"/>
      <c r="F13" s="2"/>
      <c r="G13" s="2"/>
      <c r="H13" s="2"/>
      <c r="I13" s="2"/>
      <c r="J13" s="2"/>
      <c r="K13" s="2"/>
    </row>
    <row r="14" spans="1:70" ht="20.25">
      <c r="A14" s="1"/>
      <c r="B14" s="4"/>
      <c r="C14" s="2"/>
      <c r="D14" s="2"/>
      <c r="E14" s="2"/>
      <c r="F14" s="2"/>
      <c r="G14" s="2"/>
      <c r="H14" s="2"/>
      <c r="I14" s="2"/>
      <c r="J14" s="2"/>
      <c r="K14" s="2"/>
    </row>
    <row r="16" spans="1:70" ht="20.25">
      <c r="A16" s="15" t="s">
        <v>37</v>
      </c>
      <c r="B16" s="15"/>
      <c r="C16" s="2"/>
      <c r="D16" s="2"/>
      <c r="E16" s="2"/>
      <c r="F16" s="2"/>
      <c r="G16" s="2"/>
      <c r="H16" s="2"/>
      <c r="I16" s="2"/>
      <c r="J16" s="2"/>
      <c r="K16" s="2"/>
      <c r="L16" t="s">
        <v>0</v>
      </c>
      <c r="M16" t="s">
        <v>1</v>
      </c>
      <c r="N16" t="s">
        <v>2</v>
      </c>
      <c r="O16" t="s">
        <v>3</v>
      </c>
    </row>
    <row r="17" spans="1:15" ht="20.25">
      <c r="A17" s="1" t="s">
        <v>4</v>
      </c>
      <c r="B17" s="3">
        <v>107</v>
      </c>
      <c r="C17" s="2" t="s">
        <v>5</v>
      </c>
      <c r="D17" s="3">
        <v>140</v>
      </c>
      <c r="E17" s="2"/>
      <c r="F17" s="2"/>
      <c r="G17" s="2"/>
      <c r="H17" s="2" t="s">
        <v>15</v>
      </c>
      <c r="I17" s="3">
        <v>120</v>
      </c>
      <c r="J17" s="2" t="s">
        <v>16</v>
      </c>
      <c r="K17" s="3">
        <v>15</v>
      </c>
      <c r="L17">
        <f>B17</f>
        <v>107</v>
      </c>
      <c r="M17">
        <f>D17</f>
        <v>140</v>
      </c>
      <c r="N17">
        <f>B18</f>
        <v>260</v>
      </c>
      <c r="O17">
        <f>INT(IF(L17*IF(M17&lt;120,120,M17)/900&gt;20,L17*IF(M17&lt;120,120,M17)/900,20)*N17*0.6)+IF(L17&lt;150,400,400+INT((L17-150)/30)*50)</f>
        <v>3520</v>
      </c>
    </row>
    <row r="18" spans="1:15" ht="20.25">
      <c r="A18" s="1" t="s">
        <v>17</v>
      </c>
      <c r="B18" s="3">
        <v>260</v>
      </c>
      <c r="C18" s="2"/>
      <c r="D18" s="2"/>
      <c r="E18" s="2"/>
      <c r="F18" s="2"/>
      <c r="G18" s="2"/>
      <c r="H18" s="2"/>
      <c r="I18" s="2"/>
      <c r="J18" s="2"/>
      <c r="K18" s="2"/>
    </row>
    <row r="19" spans="1:15" ht="20.25">
      <c r="A19" s="1" t="s">
        <v>10</v>
      </c>
      <c r="B19" s="2">
        <f>INT(IF((B17)*IF(D17&lt;I17,I17,D17)/900&lt;K17,K17,(B17)*IF(D17&lt;I17,I17,D17)/900)*B18*0.6)</f>
        <v>2596</v>
      </c>
      <c r="C19" s="2"/>
      <c r="D19" s="2"/>
      <c r="E19" s="2"/>
      <c r="F19" s="2"/>
      <c r="G19" s="2"/>
      <c r="H19" s="2"/>
      <c r="I19" s="2"/>
      <c r="J19" s="2" t="s">
        <v>13</v>
      </c>
      <c r="K19" s="2">
        <f>IF(B17&lt;150,400,400+INT((B17-150)/30)*50)+300</f>
        <v>700</v>
      </c>
    </row>
    <row r="20" spans="1:15" ht="20.25">
      <c r="A20" s="1" t="s">
        <v>14</v>
      </c>
      <c r="B20" s="4">
        <f>B19+E19+H19+K19+G18*J16</f>
        <v>3296</v>
      </c>
      <c r="C20" s="2"/>
      <c r="D20" s="2"/>
      <c r="E20" s="2"/>
      <c r="F20" s="2"/>
      <c r="G20" s="2"/>
      <c r="H20" s="2"/>
      <c r="I20" s="2"/>
      <c r="J20" s="2"/>
      <c r="K20" s="2"/>
    </row>
    <row r="21" spans="1:15" ht="20.25">
      <c r="A21" s="1"/>
      <c r="B21" s="4"/>
      <c r="C21" s="2"/>
      <c r="D21" s="2"/>
      <c r="E21" s="2"/>
      <c r="F21" s="2"/>
      <c r="G21" s="2"/>
      <c r="H21" s="2"/>
      <c r="I21" s="2"/>
      <c r="J21" s="2"/>
      <c r="K21" s="2"/>
    </row>
    <row r="23" spans="1:15" ht="23.25" customHeight="1">
      <c r="A23" s="6" t="s">
        <v>23</v>
      </c>
    </row>
    <row r="24" spans="1:15" ht="20.25">
      <c r="A24" s="1" t="s">
        <v>4</v>
      </c>
      <c r="B24" s="3">
        <v>464</v>
      </c>
      <c r="C24" s="2" t="s">
        <v>5</v>
      </c>
      <c r="D24" s="3">
        <v>256</v>
      </c>
      <c r="E24" s="2"/>
      <c r="F24" s="2"/>
      <c r="G24" s="2"/>
      <c r="H24" s="2"/>
      <c r="I24" s="2" t="s">
        <v>6</v>
      </c>
      <c r="J24" s="2">
        <v>2</v>
      </c>
      <c r="K24" s="2"/>
    </row>
    <row r="25" spans="1:15" ht="21">
      <c r="A25" s="1" t="s">
        <v>7</v>
      </c>
      <c r="B25" s="3">
        <v>1060</v>
      </c>
      <c r="C25" s="2" t="s">
        <v>40</v>
      </c>
      <c r="D25" s="3">
        <v>276</v>
      </c>
      <c r="E25" s="2"/>
      <c r="F25" s="2"/>
      <c r="G25" s="2"/>
      <c r="H25" s="2"/>
      <c r="I25" s="2"/>
      <c r="J25" s="2"/>
      <c r="K25" s="2"/>
    </row>
    <row r="26" spans="1:15" ht="20.25">
      <c r="A26" s="1" t="s">
        <v>18</v>
      </c>
      <c r="B26" s="2">
        <f>ROUNDUP((B24*2+30+15)/90,2)</f>
        <v>10.82</v>
      </c>
      <c r="C26" s="2"/>
      <c r="E26" s="2"/>
      <c r="F26" s="2" t="s">
        <v>9</v>
      </c>
      <c r="G26" s="2">
        <v>35</v>
      </c>
      <c r="H26" s="2"/>
      <c r="I26" s="2"/>
      <c r="J26" s="2" t="s">
        <v>19</v>
      </c>
      <c r="K26" s="2">
        <f>20*ROUNDUP((B24*2+30+15)/30,0)</f>
        <v>660</v>
      </c>
    </row>
    <row r="27" spans="1:15" ht="20.25">
      <c r="A27" s="1" t="s">
        <v>10</v>
      </c>
      <c r="B27" s="2">
        <f>IF(D25&lt;D24,INT((B24*2+30+15)/90*B25*0.55*2),INT((B24*2+30+15)/90*B25*0.55))</f>
        <v>6302</v>
      </c>
      <c r="C27" s="2"/>
      <c r="D27" s="2" t="s">
        <v>11</v>
      </c>
      <c r="E27" s="2">
        <f>ROUNDUP(B24/30,0)*40</f>
        <v>640</v>
      </c>
      <c r="F27" s="2"/>
      <c r="G27" s="2" t="s">
        <v>12</v>
      </c>
      <c r="H27" s="2">
        <f>INT(B26*200)</f>
        <v>2164</v>
      </c>
      <c r="I27" s="2"/>
      <c r="J27" s="2" t="s">
        <v>13</v>
      </c>
      <c r="K27" s="2">
        <f>IF(B24&lt;150,400,400+50*INT((B24-150)/30))+300</f>
        <v>1200</v>
      </c>
    </row>
    <row r="28" spans="1:15" ht="20.25">
      <c r="A28" s="1" t="s">
        <v>14</v>
      </c>
      <c r="B28" s="4">
        <f>B27+E27+H27+K27+G26+K26</f>
        <v>11001</v>
      </c>
      <c r="C28" s="2"/>
      <c r="D28" s="2"/>
      <c r="E28" s="2"/>
      <c r="F28" s="2"/>
      <c r="G28" s="2"/>
      <c r="H28" s="2"/>
      <c r="I28" s="2"/>
      <c r="J28" s="2"/>
      <c r="K28" s="2"/>
    </row>
    <row r="29" spans="1:15" ht="20.25">
      <c r="A29" s="1"/>
      <c r="B29" s="4"/>
      <c r="C29" s="2"/>
      <c r="D29" s="2"/>
      <c r="E29" s="2"/>
      <c r="F29" s="2"/>
      <c r="G29" s="2"/>
      <c r="H29" s="2"/>
      <c r="I29" s="2"/>
      <c r="J29" s="2"/>
      <c r="K29" s="2"/>
    </row>
    <row r="30" spans="1:15" ht="20.25">
      <c r="A30" s="1"/>
      <c r="B30" s="4"/>
      <c r="C30" s="2"/>
      <c r="J30" s="2"/>
      <c r="K30" s="2"/>
    </row>
    <row r="31" spans="1:15" ht="23.25" customHeight="1">
      <c r="A31" s="1" t="s">
        <v>20</v>
      </c>
      <c r="D31" s="19" t="s">
        <v>28</v>
      </c>
      <c r="E31" s="19"/>
      <c r="F31" s="19"/>
      <c r="G31" s="19"/>
      <c r="H31" s="19"/>
      <c r="I31" s="19"/>
      <c r="J31" s="19"/>
    </row>
    <row r="32" spans="1:15" ht="21">
      <c r="A32" s="1" t="s">
        <v>4</v>
      </c>
      <c r="B32" s="3">
        <v>458</v>
      </c>
      <c r="C32" s="2" t="s">
        <v>5</v>
      </c>
      <c r="D32" s="3">
        <v>263</v>
      </c>
      <c r="E32" s="2"/>
      <c r="F32" s="7" t="s">
        <v>27</v>
      </c>
      <c r="G32" s="3">
        <v>3</v>
      </c>
      <c r="H32" s="2"/>
      <c r="I32" s="2" t="s">
        <v>6</v>
      </c>
      <c r="J32" s="2">
        <v>2</v>
      </c>
      <c r="K32" s="2"/>
    </row>
    <row r="33" spans="1:11" ht="21">
      <c r="A33" s="1" t="s">
        <v>7</v>
      </c>
      <c r="B33" s="3">
        <v>650</v>
      </c>
      <c r="C33" s="11" t="s">
        <v>38</v>
      </c>
      <c r="D33" s="3">
        <v>150</v>
      </c>
      <c r="E33" s="2"/>
      <c r="F33" s="2"/>
      <c r="G33" s="2"/>
      <c r="H33" s="2"/>
      <c r="I33" s="2"/>
      <c r="J33" s="2"/>
      <c r="K33" s="2"/>
    </row>
    <row r="34" spans="1:11" ht="20.25">
      <c r="A34" s="1" t="s">
        <v>8</v>
      </c>
      <c r="B34" s="2">
        <f>ROUNDUP((B32*G32)/D33,0)+IF(MOD(B32*G32,D33)=0,1,0)</f>
        <v>10</v>
      </c>
      <c r="C34" s="2"/>
      <c r="E34" s="2"/>
      <c r="F34" s="2" t="s">
        <v>9</v>
      </c>
      <c r="G34" s="2">
        <v>35</v>
      </c>
      <c r="H34" s="2"/>
      <c r="I34" s="2"/>
      <c r="J34" s="2"/>
      <c r="K34" s="2"/>
    </row>
    <row r="35" spans="1:11" ht="20.25">
      <c r="A35" s="1" t="s">
        <v>10</v>
      </c>
      <c r="B35" s="2">
        <f>INT(B34*(D32+30+15)/90*B33*0.65)</f>
        <v>14458</v>
      </c>
      <c r="C35" s="2"/>
      <c r="D35" s="2" t="s">
        <v>11</v>
      </c>
      <c r="E35" s="2">
        <f>ROUNDUP(B32/30,0)*80</f>
        <v>1280</v>
      </c>
      <c r="F35" s="2"/>
      <c r="G35" s="2" t="s">
        <v>12</v>
      </c>
      <c r="H35" s="2">
        <f>B34*350</f>
        <v>3500</v>
      </c>
      <c r="I35" s="2"/>
      <c r="J35" s="2" t="s">
        <v>13</v>
      </c>
      <c r="K35" s="2">
        <f>IF(B32&lt;150,400,400+50*INT((B32-150)/30))+600</f>
        <v>1500</v>
      </c>
    </row>
    <row r="36" spans="1:11" ht="20.25">
      <c r="A36" s="1" t="s">
        <v>14</v>
      </c>
      <c r="B36" s="4">
        <f>B35+E35+H35+K35+G34*2</f>
        <v>20808</v>
      </c>
      <c r="C36" s="2"/>
      <c r="D36" s="2"/>
      <c r="E36" s="2"/>
      <c r="F36" s="2"/>
      <c r="G36" s="2"/>
      <c r="H36" s="2"/>
      <c r="I36" s="2"/>
      <c r="J36" s="2"/>
      <c r="K36" s="2"/>
    </row>
    <row r="37" spans="1:11" ht="28.5" customHeight="1"/>
    <row r="38" spans="1:11" ht="28.5" customHeight="1">
      <c r="A38" s="9" t="s">
        <v>34</v>
      </c>
      <c r="B38" s="8" t="s">
        <v>25</v>
      </c>
      <c r="C38" s="19" t="s">
        <v>26</v>
      </c>
      <c r="D38" s="19"/>
      <c r="E38" s="19"/>
      <c r="F38" s="19"/>
    </row>
    <row r="39" spans="1:11" ht="21">
      <c r="A39" s="16" t="s">
        <v>33</v>
      </c>
      <c r="B39" s="17"/>
      <c r="C39" s="2"/>
      <c r="D39" s="2"/>
      <c r="E39" s="2"/>
      <c r="F39" s="2"/>
      <c r="G39" s="2"/>
      <c r="H39" s="2"/>
      <c r="I39" s="2"/>
      <c r="J39" s="2"/>
      <c r="K39" s="2"/>
    </row>
    <row r="40" spans="1:11" ht="20.25">
      <c r="A40" s="1" t="s">
        <v>4</v>
      </c>
      <c r="B40" s="3">
        <v>174</v>
      </c>
      <c r="C40" s="2" t="s">
        <v>5</v>
      </c>
      <c r="D40" s="3">
        <v>244</v>
      </c>
      <c r="E40" s="2"/>
      <c r="F40" s="2"/>
      <c r="G40" s="2"/>
      <c r="H40" s="2" t="s">
        <v>15</v>
      </c>
      <c r="I40" s="3">
        <v>180</v>
      </c>
      <c r="J40" s="2" t="s">
        <v>16</v>
      </c>
      <c r="K40" s="3">
        <v>30</v>
      </c>
    </row>
    <row r="41" spans="1:11" ht="21">
      <c r="A41" s="1" t="s">
        <v>17</v>
      </c>
      <c r="B41" s="3">
        <v>382</v>
      </c>
      <c r="C41" s="11" t="s">
        <v>38</v>
      </c>
      <c r="D41" s="3">
        <v>300</v>
      </c>
      <c r="E41" s="18" t="s">
        <v>24</v>
      </c>
      <c r="F41" s="18"/>
      <c r="G41" s="2"/>
      <c r="H41" s="2"/>
      <c r="I41" s="2"/>
      <c r="J41" s="2"/>
      <c r="K41" s="2"/>
    </row>
    <row r="42" spans="1:11" ht="20.25">
      <c r="A42" s="1" t="s">
        <v>10</v>
      </c>
      <c r="B42" s="2">
        <f>MAX(ROUNDUP((B40 * D40) / 900, 0), K40) * B41 * 0.75</f>
        <v>13752</v>
      </c>
      <c r="C42" s="2"/>
      <c r="D42" s="2"/>
      <c r="E42" s="2"/>
      <c r="F42" s="2"/>
      <c r="G42" s="2"/>
      <c r="H42" s="2"/>
      <c r="I42" s="2"/>
      <c r="J42" s="2" t="s">
        <v>13</v>
      </c>
      <c r="K42" s="2">
        <f>IF(ROUNDUP(B40*D40/900,0)&gt;K40,ROUNDUP(B40*D40/900,0)*20,K40*20)+600</f>
        <v>1560</v>
      </c>
    </row>
    <row r="43" spans="1:11" ht="20.25">
      <c r="A43" s="1" t="s">
        <v>14</v>
      </c>
      <c r="B43" s="4">
        <f>B42+E42+H42+K42+G41*J39</f>
        <v>15312</v>
      </c>
      <c r="C43" s="2"/>
      <c r="D43" s="2"/>
      <c r="E43" s="2"/>
      <c r="F43" s="2"/>
      <c r="G43" s="2"/>
      <c r="H43" s="2"/>
      <c r="I43" s="2"/>
      <c r="J43" s="2"/>
      <c r="K43" s="2"/>
    </row>
    <row r="44" spans="1:11" ht="165.75" customHeight="1">
      <c r="A44" s="22" t="s">
        <v>31</v>
      </c>
      <c r="B44" s="23"/>
      <c r="C44" s="23"/>
      <c r="D44" s="23"/>
      <c r="E44" s="23"/>
      <c r="F44" s="23"/>
      <c r="G44" s="23"/>
      <c r="H44" s="2"/>
      <c r="I44" s="2"/>
      <c r="J44" s="2"/>
      <c r="K44" s="2"/>
    </row>
    <row r="45" spans="1:11" ht="28.5" customHeight="1"/>
    <row r="46" spans="1:11" ht="28.5" customHeight="1"/>
    <row r="47" spans="1:11" ht="28.5" customHeight="1">
      <c r="A47" s="9" t="s">
        <v>21</v>
      </c>
      <c r="B47" s="8" t="s">
        <v>25</v>
      </c>
      <c r="C47" s="19" t="s">
        <v>26</v>
      </c>
      <c r="D47" s="19"/>
      <c r="E47" s="19"/>
      <c r="F47" s="19"/>
    </row>
    <row r="48" spans="1:11" ht="21">
      <c r="A48" s="16" t="s">
        <v>21</v>
      </c>
      <c r="B48" s="17"/>
      <c r="C48" s="2"/>
      <c r="D48" s="2"/>
      <c r="E48" s="2"/>
      <c r="F48" s="2"/>
      <c r="G48" s="2"/>
      <c r="H48" s="2"/>
      <c r="I48" s="2"/>
      <c r="J48" s="2"/>
      <c r="K48" s="2"/>
    </row>
    <row r="49" spans="1:11" ht="20.25">
      <c r="A49" s="1" t="s">
        <v>4</v>
      </c>
      <c r="B49" s="3">
        <v>230</v>
      </c>
      <c r="C49" s="2" t="s">
        <v>5</v>
      </c>
      <c r="D49" s="3">
        <v>240</v>
      </c>
      <c r="E49" s="2"/>
      <c r="F49" s="2"/>
      <c r="G49" s="2"/>
      <c r="H49" s="2" t="s">
        <v>15</v>
      </c>
      <c r="I49" s="3">
        <v>180</v>
      </c>
      <c r="J49" s="2" t="s">
        <v>16</v>
      </c>
      <c r="K49" s="3">
        <v>30</v>
      </c>
    </row>
    <row r="50" spans="1:11" ht="21">
      <c r="A50" s="1" t="s">
        <v>17</v>
      </c>
      <c r="B50" s="3">
        <v>960</v>
      </c>
      <c r="C50" s="11" t="s">
        <v>38</v>
      </c>
      <c r="D50" s="3">
        <v>300</v>
      </c>
      <c r="E50" s="18" t="s">
        <v>24</v>
      </c>
      <c r="F50" s="18"/>
      <c r="G50" s="2"/>
      <c r="H50" s="2"/>
      <c r="I50" s="2"/>
      <c r="J50" s="2"/>
      <c r="K50" s="2"/>
    </row>
    <row r="51" spans="1:11" ht="20.25">
      <c r="A51" s="1" t="s">
        <v>10</v>
      </c>
      <c r="B51" s="2">
        <f>MAX(ROUNDUP((B49 * D49) / 900, 0), K49) * B50 * 0.55</f>
        <v>32736.000000000004</v>
      </c>
      <c r="C51" s="2"/>
      <c r="D51" s="2"/>
      <c r="E51" s="2"/>
      <c r="F51" s="2"/>
      <c r="G51" s="2"/>
      <c r="H51" s="2"/>
      <c r="I51" s="2"/>
      <c r="J51" s="2" t="s">
        <v>13</v>
      </c>
      <c r="K51" s="2">
        <f>IF(ROUNDUP(B49*D49/900,0)&gt;K49,ROUNDUP(B49*D49/900,0)*20,K49*20)</f>
        <v>1240</v>
      </c>
    </row>
    <row r="52" spans="1:11" ht="20.25">
      <c r="A52" s="1" t="s">
        <v>14</v>
      </c>
      <c r="B52" s="4">
        <f>B51+E51+H51+K51+G50*J48</f>
        <v>33976</v>
      </c>
      <c r="C52" s="2"/>
      <c r="D52" s="2"/>
      <c r="E52" s="2"/>
      <c r="F52" s="2"/>
      <c r="G52" s="2"/>
      <c r="H52" s="2"/>
      <c r="I52" s="2"/>
      <c r="J52" s="2"/>
      <c r="K52" s="2"/>
    </row>
    <row r="53" spans="1:11" ht="165.75" customHeight="1">
      <c r="A53" s="22" t="s">
        <v>31</v>
      </c>
      <c r="B53" s="23"/>
      <c r="C53" s="23"/>
      <c r="D53" s="23"/>
      <c r="E53" s="23"/>
      <c r="F53" s="23"/>
      <c r="G53" s="23"/>
      <c r="H53" s="2"/>
      <c r="I53" s="2"/>
      <c r="J53" s="2"/>
      <c r="K53" s="2"/>
    </row>
    <row r="54" spans="1:11" ht="28.5" customHeight="1"/>
    <row r="55" spans="1:11" ht="28.5" customHeight="1"/>
    <row r="56" spans="1:11" ht="28.5" customHeight="1"/>
    <row r="57" spans="1:11" ht="28.5" customHeight="1"/>
    <row r="58" spans="1:11" ht="28.5" customHeight="1"/>
    <row r="59" spans="1:11" ht="28.5" customHeight="1"/>
    <row r="60" spans="1:11" ht="28.5" customHeight="1"/>
    <row r="61" spans="1:11" ht="28.5" customHeight="1"/>
    <row r="62" spans="1:11" ht="28.5" customHeight="1"/>
    <row r="63" spans="1:11" ht="28.5" customHeight="1"/>
    <row r="64" spans="1:11" ht="28.5" customHeight="1"/>
    <row r="65" ht="28.5" customHeight="1"/>
    <row r="66" ht="28.5" customHeight="1"/>
    <row r="67" ht="28.5" customHeight="1"/>
    <row r="68" ht="28.5" customHeight="1"/>
    <row r="69" ht="28.5" customHeight="1"/>
    <row r="70" ht="28.5" customHeight="1"/>
    <row r="71" ht="28.5" customHeight="1"/>
    <row r="72" ht="28.5" customHeight="1"/>
    <row r="73" ht="28.5" customHeight="1"/>
  </sheetData>
  <mergeCells count="14">
    <mergeCell ref="C47:F47"/>
    <mergeCell ref="A48:B48"/>
    <mergeCell ref="E50:F50"/>
    <mergeCell ref="A53:G53"/>
    <mergeCell ref="A44:G44"/>
    <mergeCell ref="B2:C2"/>
    <mergeCell ref="A9:B9"/>
    <mergeCell ref="A39:B39"/>
    <mergeCell ref="E41:F41"/>
    <mergeCell ref="C38:F38"/>
    <mergeCell ref="D2:J2"/>
    <mergeCell ref="D31:J31"/>
    <mergeCell ref="A8:K8"/>
    <mergeCell ref="A16:B16"/>
  </mergeCells>
  <phoneticPr fontId="5" type="noConversion"/>
  <pageMargins left="0" right="0" top="0.39409448818897608" bottom="0.39409448818897608" header="0" footer="0"/>
  <pageSetup paperSize="9" fitToWidth="0" fitToHeight="0" orientation="portrait" r:id="rId1"/>
  <headerFooter>
    <oddHeader>&amp;C&amp;A</oddHeader>
    <oddFooter>&amp;C頁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8135-4753-42BD-850D-BD5E09B86FCF}">
  <dimension ref="A1:D8"/>
  <sheetViews>
    <sheetView workbookViewId="0">
      <selection activeCell="C6" sqref="C6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198</v>
      </c>
      <c r="B2">
        <v>211</v>
      </c>
      <c r="C2">
        <v>330</v>
      </c>
      <c r="D2">
        <f>INT(IF(MOD(A2*2,150)&gt;0,INT(A2*2/150)+1,(A2*2/150))*(B2+30+15)/90*C2*0.4)+IF(MOD(A2,30),INT(A2/30+1),INT(A2/30))*40+IF(MOD(A2*2,150)&gt;0,INT(A2*2/150)+1,(A2*2/150))*150+IF(A2&lt;150,400,400+50*INT((A2-150)/30))</f>
        <v>2306</v>
      </c>
    </row>
    <row r="3" spans="1:4">
      <c r="A3">
        <v>198</v>
      </c>
      <c r="B3">
        <v>211</v>
      </c>
      <c r="C3">
        <v>230</v>
      </c>
      <c r="D3">
        <f t="shared" ref="D3:D7" si="0">INT(IF(MOD(A3*2,150)&gt;0,INT(A3*2/150)+1,(A3*2/150))*(B3+30+15)/90*C3*0.4)+IF(MOD(A3,30),INT(A3/30+1),INT(A3/30))*50+IF(MOD(A3*2,150)&gt;0,INT(A3*2/150)+1,(A3*2/150))*100+IF(A3&lt;150,300,300+50*INT((A3-150)/30))+35*2</f>
        <v>1855</v>
      </c>
    </row>
    <row r="4" spans="1:4">
      <c r="A4">
        <v>138</v>
      </c>
      <c r="B4">
        <v>211</v>
      </c>
      <c r="C4">
        <v>330</v>
      </c>
      <c r="D4">
        <f t="shared" si="0"/>
        <v>1570</v>
      </c>
    </row>
    <row r="5" spans="1:4">
      <c r="A5">
        <v>138</v>
      </c>
      <c r="B5">
        <v>211</v>
      </c>
      <c r="C5">
        <v>230</v>
      </c>
      <c r="D5">
        <f t="shared" si="0"/>
        <v>1343</v>
      </c>
    </row>
    <row r="6" spans="1:4">
      <c r="A6">
        <v>172</v>
      </c>
      <c r="B6">
        <v>211</v>
      </c>
      <c r="C6">
        <v>330</v>
      </c>
      <c r="D6">
        <f t="shared" si="0"/>
        <v>2096</v>
      </c>
    </row>
    <row r="7" spans="1:4">
      <c r="A7">
        <v>166</v>
      </c>
      <c r="B7">
        <v>208</v>
      </c>
      <c r="C7">
        <v>330</v>
      </c>
      <c r="D7">
        <f t="shared" si="0"/>
        <v>2083</v>
      </c>
    </row>
    <row r="8" spans="1:4">
      <c r="D8">
        <f>SUM(D2:D7)</f>
        <v>11253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cols>
    <col min="1" max="1" width="9.5546875" customWidth="1"/>
    <col min="2" max="2" width="8.6640625" customWidth="1"/>
  </cols>
  <sheetData/>
  <phoneticPr fontId="5" type="noConversion"/>
  <pageMargins left="0" right="0" top="0.39409448818897608" bottom="0.39409448818897608" header="0" footer="0"/>
  <headerFooter>
    <oddHeader>&amp;C&amp;A</oddHeader>
    <oddFooter>&amp;C頁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cols>
    <col min="1" max="1" width="9.5546875" customWidth="1"/>
    <col min="2" max="2" width="8.6640625" customWidth="1"/>
  </cols>
  <sheetData/>
  <phoneticPr fontId="5" type="noConversion"/>
  <pageMargins left="0" right="0" top="0.39409448818897608" bottom="0.39409448818897608" header="0" footer="0"/>
  <headerFooter>
    <oddHeader>&amp;C&amp;A</oddHeader>
    <oddFooter>&amp;C頁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10747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工作表4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俊豪 黃</cp:lastModifiedBy>
  <cp:revision>130</cp:revision>
  <dcterms:created xsi:type="dcterms:W3CDTF">2018-11-18T18:46:34Z</dcterms:created>
  <dcterms:modified xsi:type="dcterms:W3CDTF">2026-06-14T08:46:13Z</dcterms:modified>
</cp:coreProperties>
</file>